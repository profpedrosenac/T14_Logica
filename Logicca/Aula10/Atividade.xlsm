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edro\Logica T14\Aula10\"/>
    </mc:Choice>
  </mc:AlternateContent>
  <xr:revisionPtr revIDLastSave="0" documentId="13_ncr:1_{740C452A-2E73-40E1-9464-748DB10D4535}" xr6:coauthVersionLast="47" xr6:coauthVersionMax="47" xr10:uidLastSave="{00000000-0000-0000-0000-000000000000}"/>
  <bookViews>
    <workbookView xWindow="-120" yWindow="-120" windowWidth="20730" windowHeight="11160" activeTab="1" xr2:uid="{30782800-3951-4B42-84C9-0D2253C4543C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0" i="3" l="1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0" i="3"/>
  <c r="A11" i="3"/>
  <c r="A12" i="3"/>
  <c r="A13" i="3"/>
  <c r="A14" i="3"/>
  <c r="A15" i="3"/>
  <c r="A16" i="3"/>
  <c r="A17" i="3"/>
  <c r="A18" i="3"/>
  <c r="A1" i="3"/>
  <c r="A5" i="3"/>
  <c r="A3" i="3"/>
  <c r="A2" i="3"/>
  <c r="A8" i="3"/>
  <c r="A6" i="3"/>
  <c r="A4" i="3"/>
  <c r="A9" i="3"/>
  <c r="A7" i="3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" i="2"/>
  <c r="J3" i="2"/>
  <c r="J5" i="2"/>
  <c r="J2" i="2"/>
  <c r="D24" i="2"/>
  <c r="D25" i="2"/>
  <c r="D26" i="2"/>
  <c r="D27" i="2"/>
  <c r="D28" i="2"/>
  <c r="D29" i="2"/>
  <c r="D30" i="2"/>
  <c r="D31" i="2"/>
  <c r="D23" i="2"/>
  <c r="D22" i="2"/>
  <c r="U6" i="2"/>
  <c r="U7" i="2"/>
  <c r="R7" i="2"/>
  <c r="R6" i="2"/>
  <c r="U2" i="2"/>
  <c r="U3" i="2"/>
  <c r="U4" i="2"/>
  <c r="U5" i="2"/>
  <c r="U1" i="2"/>
  <c r="R2" i="2"/>
  <c r="R3" i="2"/>
  <c r="R4" i="2"/>
  <c r="R1" i="2"/>
</calcChain>
</file>

<file path=xl/sharedStrings.xml><?xml version="1.0" encoding="utf-8"?>
<sst xmlns="http://schemas.openxmlformats.org/spreadsheetml/2006/main" count="100" uniqueCount="71">
  <si>
    <t>Usuário</t>
  </si>
  <si>
    <t>Senha</t>
  </si>
  <si>
    <t>Asdrubal</t>
  </si>
  <si>
    <t>Benegundes</t>
  </si>
  <si>
    <t>Jeroslava</t>
  </si>
  <si>
    <t>Judith</t>
  </si>
  <si>
    <t>Admin</t>
  </si>
  <si>
    <t>akaka</t>
  </si>
  <si>
    <t>2200op</t>
  </si>
  <si>
    <t>OlolO</t>
  </si>
  <si>
    <t>Nome</t>
  </si>
  <si>
    <t>Idade</t>
  </si>
  <si>
    <t>Peso</t>
  </si>
  <si>
    <t>Altura</t>
  </si>
  <si>
    <t>Magro</t>
  </si>
  <si>
    <t>Normal</t>
  </si>
  <si>
    <t>Sobrepeso</t>
  </si>
  <si>
    <t>Obesidade</t>
  </si>
  <si>
    <t xml:space="preserve">dim </t>
  </si>
  <si>
    <t xml:space="preserve"> as </t>
  </si>
  <si>
    <t>string</t>
  </si>
  <si>
    <t>integer</t>
  </si>
  <si>
    <t>double</t>
  </si>
  <si>
    <t>status</t>
  </si>
  <si>
    <t>imc</t>
  </si>
  <si>
    <t>Genero</t>
  </si>
  <si>
    <t>14.5</t>
  </si>
  <si>
    <t>16.6</t>
  </si>
  <si>
    <t>17.3</t>
  </si>
  <si>
    <t>19.1</t>
  </si>
  <si>
    <t>15.6</t>
  </si>
  <si>
    <t>16.7</t>
  </si>
  <si>
    <t>20.3</t>
  </si>
  <si>
    <t>16.1</t>
  </si>
  <si>
    <t>18.8</t>
  </si>
  <si>
    <t>21.4</t>
  </si>
  <si>
    <t>19.6</t>
  </si>
  <si>
    <t>22.5</t>
  </si>
  <si>
    <t>17.2</t>
  </si>
  <si>
    <t>23.7</t>
  </si>
  <si>
    <t>17.8</t>
  </si>
  <si>
    <t>21.1</t>
  </si>
  <si>
    <t>24.8</t>
  </si>
  <si>
    <t>18.5</t>
  </si>
  <si>
    <t>21.9</t>
  </si>
  <si>
    <t>25.9</t>
  </si>
  <si>
    <t>19.2</t>
  </si>
  <si>
    <t>22.7</t>
  </si>
  <si>
    <t>26.9</t>
  </si>
  <si>
    <t>19.9</t>
  </si>
  <si>
    <t>23.6</t>
  </si>
  <si>
    <t>27.7</t>
  </si>
  <si>
    <t>14.3</t>
  </si>
  <si>
    <t>17.4</t>
  </si>
  <si>
    <t>14.9</t>
  </si>
  <si>
    <t>17.1</t>
  </si>
  <si>
    <t>18.9</t>
  </si>
  <si>
    <t>18.1</t>
  </si>
  <si>
    <t>16.3</t>
  </si>
  <si>
    <t>21.7</t>
  </si>
  <si>
    <t>20.1</t>
  </si>
  <si>
    <t>23.2</t>
  </si>
  <si>
    <t>17.7</t>
  </si>
  <si>
    <t>24.5</t>
  </si>
  <si>
    <t>18.3</t>
  </si>
  <si>
    <t>22.1</t>
  </si>
  <si>
    <t>19.3</t>
  </si>
  <si>
    <t>23.8</t>
  </si>
  <si>
    <t>27.9</t>
  </si>
  <si>
    <t>24.2</t>
  </si>
  <si>
    <t>28.8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</si>
</sst>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937461</xdr:colOff>
      <xdr:row>0</xdr:row>
      <xdr:rowOff>50132</xdr:rowOff>
    </xdr:from>
    <xdr:to>
      <xdr:col>4</xdr:col>
      <xdr:colOff>245644</xdr:colOff>
      <xdr:row>2</xdr:row>
      <xdr:rowOff>5013</xdr:rowOff>
    </xdr:to>
    <xdr:sp macro="[0]!atividade01" textlink="">
      <xdr:nvSpPr>
        <xdr:cNvPr id="2" name="Retângulo 1">
          <a:extLst>
            <a:ext uri="{FF2B5EF4-FFF2-40B4-BE49-F238E27FC236}">
              <a16:creationId xmlns:a16="http://schemas.microsoft.com/office/drawing/2014/main" id="{7BA490A4-64D4-B915-8124-250DD234604F}"/>
            </a:ext>
          </a:extLst>
        </xdr:cNvPr>
        <xdr:cNvSpPr/>
      </xdr:nvSpPr>
      <xdr:spPr>
        <a:xfrm>
          <a:off x="3073066" y="50132"/>
          <a:ext cx="1443789" cy="3358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494846</xdr:colOff>
      <xdr:row>13</xdr:row>
      <xdr:rowOff>95250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AAA4AC9-F6D5-7A8F-8DA8-2ABAD9D54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6174" cy="2619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33221</xdr:colOff>
      <xdr:row>71</xdr:row>
      <xdr:rowOff>52332</xdr:rowOff>
    </xdr:from>
    <xdr:to>
      <xdr:col>6</xdr:col>
      <xdr:colOff>543502</xdr:colOff>
      <xdr:row>83</xdr:row>
      <xdr:rowOff>16272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372E0E4-56FF-4D12-B831-C6A0B71075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028" r="347"/>
        <a:stretch/>
      </xdr:blipFill>
      <xdr:spPr>
        <a:xfrm>
          <a:off x="3074652" y="13623815"/>
          <a:ext cx="2343022" cy="22630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D585B-2557-4326-B869-CA79CBEB7AC4}">
  <sheetPr codeName="Planilha1"/>
  <dimension ref="A1:E9"/>
  <sheetViews>
    <sheetView zoomScale="190" zoomScaleNormal="190" workbookViewId="0">
      <selection activeCell="E4" sqref="E4"/>
    </sheetView>
  </sheetViews>
  <sheetFormatPr defaultColWidth="16" defaultRowHeight="15" x14ac:dyDescent="0.25"/>
  <sheetData>
    <row r="1" spans="1:5" x14ac:dyDescent="0.25">
      <c r="A1" t="s">
        <v>0</v>
      </c>
      <c r="B1" s="2"/>
    </row>
    <row r="2" spans="1:5" x14ac:dyDescent="0.25">
      <c r="A2" t="s">
        <v>1</v>
      </c>
      <c r="B2" s="2"/>
    </row>
    <row r="4" spans="1:5" x14ac:dyDescent="0.25">
      <c r="A4" t="s">
        <v>2</v>
      </c>
      <c r="B4" t="s">
        <v>3</v>
      </c>
      <c r="C4" t="s">
        <v>4</v>
      </c>
      <c r="D4" t="s">
        <v>5</v>
      </c>
      <c r="E4" t="s">
        <v>6</v>
      </c>
    </row>
    <row r="5" spans="1:5" x14ac:dyDescent="0.25">
      <c r="A5">
        <v>1234</v>
      </c>
      <c r="B5" t="s">
        <v>7</v>
      </c>
      <c r="C5" t="s">
        <v>8</v>
      </c>
      <c r="D5" t="s">
        <v>9</v>
      </c>
      <c r="E5" t="s">
        <v>6</v>
      </c>
    </row>
    <row r="9" spans="1:5" x14ac:dyDescent="0.25">
      <c r="C9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6CC2-36A5-4D23-B9C0-57131B07738C}">
  <sheetPr codeName="Planilha2"/>
  <dimension ref="B1:U41"/>
  <sheetViews>
    <sheetView tabSelected="1" zoomScale="130" zoomScaleNormal="130" workbookViewId="0">
      <selection activeCell="K2" sqref="K2"/>
    </sheetView>
  </sheetViews>
  <sheetFormatPr defaultRowHeight="15" x14ac:dyDescent="0.25"/>
  <cols>
    <col min="7" max="7" width="19" customWidth="1"/>
    <col min="10" max="10" width="38.42578125" bestFit="1" customWidth="1"/>
    <col min="15" max="15" width="14.7109375" customWidth="1"/>
    <col min="16" max="16" width="2.42578125" customWidth="1"/>
  </cols>
  <sheetData>
    <row r="1" spans="8:21" ht="15.75" thickBot="1" x14ac:dyDescent="0.3">
      <c r="O1" t="s">
        <v>10</v>
      </c>
      <c r="Q1" t="s">
        <v>18</v>
      </c>
      <c r="R1" t="str">
        <f>O1</f>
        <v>Nome</v>
      </c>
      <c r="S1" t="s">
        <v>19</v>
      </c>
      <c r="T1" t="s">
        <v>20</v>
      </c>
      <c r="U1" t="str">
        <f>_xlfn.CONCAT(Q1:T1)</f>
        <v>dim Nome as string</v>
      </c>
    </row>
    <row r="2" spans="8:21" x14ac:dyDescent="0.25">
      <c r="H2" s="10">
        <v>6</v>
      </c>
      <c r="I2" s="4" t="s">
        <v>26</v>
      </c>
      <c r="J2" s="5" t="str">
        <f>"if imc &lt;"&amp;I2&amp;"then status = ""Magro"""</f>
        <v>if imc &lt;14.5then status = "Magro"</v>
      </c>
      <c r="O2" t="s">
        <v>11</v>
      </c>
      <c r="Q2" t="s">
        <v>18</v>
      </c>
      <c r="R2" t="str">
        <f t="shared" ref="R2:R7" si="0">O2</f>
        <v>Idade</v>
      </c>
      <c r="S2" t="s">
        <v>19</v>
      </c>
      <c r="T2" t="s">
        <v>21</v>
      </c>
      <c r="U2" t="str">
        <f t="shared" ref="U2:U7" si="1">_xlfn.CONCAT(Q2:T2)</f>
        <v>dim Idade as integer</v>
      </c>
    </row>
    <row r="3" spans="8:21" x14ac:dyDescent="0.25">
      <c r="H3" s="10"/>
      <c r="I3" s="6" t="s">
        <v>27</v>
      </c>
      <c r="J3" s="7" t="str">
        <f>"elseif imc &lt;"&amp;I3&amp;"then status = ""Normal"""</f>
        <v>elseif imc &lt;16.6then status = "Normal"</v>
      </c>
      <c r="O3" t="s">
        <v>12</v>
      </c>
      <c r="Q3" t="s">
        <v>18</v>
      </c>
      <c r="R3" t="str">
        <f t="shared" si="0"/>
        <v>Peso</v>
      </c>
      <c r="S3" t="s">
        <v>19</v>
      </c>
      <c r="T3" t="s">
        <v>22</v>
      </c>
      <c r="U3" t="str">
        <f t="shared" si="1"/>
        <v>dim Peso as double</v>
      </c>
    </row>
    <row r="4" spans="8:21" x14ac:dyDescent="0.25">
      <c r="H4" s="10"/>
      <c r="I4" s="6">
        <v>18</v>
      </c>
      <c r="J4" s="7" t="str">
        <f>"elseif imc &lt;"&amp;I4&amp;"then status = ""Sobrepeso"""</f>
        <v>elseif imc &lt;18then status = "Sobrepeso"</v>
      </c>
      <c r="O4" t="s">
        <v>13</v>
      </c>
      <c r="Q4" t="s">
        <v>18</v>
      </c>
      <c r="R4" t="str">
        <f t="shared" si="0"/>
        <v>Altura</v>
      </c>
      <c r="S4" t="s">
        <v>19</v>
      </c>
      <c r="T4" t="s">
        <v>22</v>
      </c>
      <c r="U4" t="str">
        <f t="shared" si="1"/>
        <v>dim Altura as double</v>
      </c>
    </row>
    <row r="5" spans="8:21" ht="15.75" thickBot="1" x14ac:dyDescent="0.3">
      <c r="H5" s="10"/>
      <c r="I5" s="8"/>
      <c r="J5" s="9" t="str">
        <f>"else: status=""Obesidade"""</f>
        <v>else: status="Obesidade"</v>
      </c>
      <c r="O5" t="s">
        <v>25</v>
      </c>
      <c r="Q5" t="s">
        <v>18</v>
      </c>
      <c r="R5" t="s">
        <v>25</v>
      </c>
      <c r="S5" t="s">
        <v>19</v>
      </c>
      <c r="T5" t="s">
        <v>20</v>
      </c>
      <c r="U5" t="str">
        <f t="shared" si="1"/>
        <v>dim Genero as string</v>
      </c>
    </row>
    <row r="6" spans="8:21" x14ac:dyDescent="0.25">
      <c r="H6" s="10">
        <v>7</v>
      </c>
      <c r="I6">
        <v>15</v>
      </c>
      <c r="J6" s="5" t="str">
        <f t="shared" ref="J6" si="2">"if imc &lt;"&amp;I6&amp;"then status = ""Magro"""</f>
        <v>if imc &lt;15then status = "Magro"</v>
      </c>
      <c r="O6" t="s">
        <v>23</v>
      </c>
      <c r="Q6" t="s">
        <v>18</v>
      </c>
      <c r="R6" t="str">
        <f t="shared" si="0"/>
        <v>status</v>
      </c>
      <c r="S6" t="s">
        <v>19</v>
      </c>
      <c r="T6" t="s">
        <v>20</v>
      </c>
      <c r="U6" t="str">
        <f t="shared" si="1"/>
        <v>dim status as string</v>
      </c>
    </row>
    <row r="7" spans="8:21" x14ac:dyDescent="0.25">
      <c r="H7" s="10"/>
      <c r="I7" t="s">
        <v>28</v>
      </c>
      <c r="J7" s="7" t="str">
        <f t="shared" ref="J7" si="3">"elseif imc &lt;"&amp;I7&amp;"then status = ""Normal"""</f>
        <v>elseif imc &lt;17.3then status = "Normal"</v>
      </c>
      <c r="O7" t="s">
        <v>24</v>
      </c>
      <c r="Q7" t="s">
        <v>18</v>
      </c>
      <c r="R7" t="str">
        <f t="shared" si="0"/>
        <v>imc</v>
      </c>
      <c r="S7" t="s">
        <v>19</v>
      </c>
      <c r="T7" t="s">
        <v>22</v>
      </c>
      <c r="U7" t="str">
        <f t="shared" si="1"/>
        <v>dim imc as double</v>
      </c>
    </row>
    <row r="8" spans="8:21" x14ac:dyDescent="0.25">
      <c r="H8" s="10"/>
      <c r="I8" t="s">
        <v>29</v>
      </c>
      <c r="J8" s="7" t="str">
        <f t="shared" ref="J8" si="4">"elseif imc &lt;"&amp;I8&amp;"then status = ""Sobrepeso"""</f>
        <v>elseif imc &lt;19.1then status = "Sobrepeso"</v>
      </c>
    </row>
    <row r="9" spans="8:21" ht="15.75" thickBot="1" x14ac:dyDescent="0.3">
      <c r="H9" s="10"/>
      <c r="J9" s="9" t="str">
        <f t="shared" ref="J9:J41" si="5">"else: status=""Obesidade"""</f>
        <v>else: status="Obesidade"</v>
      </c>
    </row>
    <row r="10" spans="8:21" x14ac:dyDescent="0.25">
      <c r="H10" s="10">
        <v>8</v>
      </c>
      <c r="I10" t="s">
        <v>30</v>
      </c>
      <c r="J10" s="5" t="str">
        <f t="shared" ref="J10" si="6">"if imc &lt;"&amp;I10&amp;"then status = ""Magro"""</f>
        <v>if imc &lt;15.6then status = "Magro"</v>
      </c>
      <c r="O10" s="1" t="s">
        <v>14</v>
      </c>
    </row>
    <row r="11" spans="8:21" x14ac:dyDescent="0.25">
      <c r="H11" s="10"/>
      <c r="I11" t="s">
        <v>31</v>
      </c>
      <c r="J11" s="7" t="str">
        <f t="shared" ref="J11" si="7">"elseif imc &lt;"&amp;I11&amp;"then status = ""Normal"""</f>
        <v>elseif imc &lt;16.7then status = "Normal"</v>
      </c>
      <c r="O11" s="1" t="s">
        <v>15</v>
      </c>
    </row>
    <row r="12" spans="8:21" x14ac:dyDescent="0.25">
      <c r="H12" s="10"/>
      <c r="I12" t="s">
        <v>32</v>
      </c>
      <c r="J12" s="7" t="str">
        <f t="shared" ref="J12" si="8">"elseif imc &lt;"&amp;I12&amp;"then status = ""Sobrepeso"""</f>
        <v>elseif imc &lt;20.3then status = "Sobrepeso"</v>
      </c>
      <c r="O12" s="1" t="s">
        <v>16</v>
      </c>
    </row>
    <row r="13" spans="8:21" ht="15.75" thickBot="1" x14ac:dyDescent="0.3">
      <c r="H13" s="10"/>
      <c r="J13" s="9" t="str">
        <f t="shared" ref="J13:J41" si="9">"else: status=""Obesidade"""</f>
        <v>else: status="Obesidade"</v>
      </c>
      <c r="O13" s="1" t="s">
        <v>17</v>
      </c>
    </row>
    <row r="14" spans="8:21" x14ac:dyDescent="0.25">
      <c r="H14" s="10">
        <v>9</v>
      </c>
      <c r="I14" t="s">
        <v>33</v>
      </c>
      <c r="J14" s="5" t="str">
        <f t="shared" ref="J14" si="10">"if imc &lt;"&amp;I14&amp;"then status = ""Magro"""</f>
        <v>if imc &lt;16.1then status = "Magro"</v>
      </c>
    </row>
    <row r="15" spans="8:21" x14ac:dyDescent="0.25">
      <c r="H15" s="10"/>
      <c r="I15" t="s">
        <v>34</v>
      </c>
      <c r="J15" s="7" t="str">
        <f t="shared" ref="J15" si="11">"elseif imc &lt;"&amp;I15&amp;"then status = ""Normal"""</f>
        <v>elseif imc &lt;18.8then status = "Normal"</v>
      </c>
    </row>
    <row r="16" spans="8:21" x14ac:dyDescent="0.25">
      <c r="H16" s="10"/>
      <c r="I16" t="s">
        <v>35</v>
      </c>
      <c r="J16" s="7" t="str">
        <f t="shared" ref="J16" si="12">"elseif imc &lt;"&amp;I16&amp;"then status = ""Sobrepeso"""</f>
        <v>elseif imc &lt;21.4then status = "Sobrepeso"</v>
      </c>
    </row>
    <row r="17" spans="2:10" ht="15.75" thickBot="1" x14ac:dyDescent="0.3">
      <c r="H17" s="10"/>
      <c r="J17" s="9" t="str">
        <f t="shared" ref="J17:J41" si="13">"else: status=""Obesidade"""</f>
        <v>else: status="Obesidade"</v>
      </c>
    </row>
    <row r="18" spans="2:10" x14ac:dyDescent="0.25">
      <c r="H18" s="10">
        <v>10</v>
      </c>
      <c r="I18" t="s">
        <v>31</v>
      </c>
      <c r="J18" s="5" t="str">
        <f t="shared" ref="J18" si="14">"if imc &lt;"&amp;I18&amp;"then status = ""Magro"""</f>
        <v>if imc &lt;16.7then status = "Magro"</v>
      </c>
    </row>
    <row r="19" spans="2:10" x14ac:dyDescent="0.25">
      <c r="H19" s="10"/>
      <c r="I19" t="s">
        <v>36</v>
      </c>
      <c r="J19" s="7" t="str">
        <f t="shared" ref="J19" si="15">"elseif imc &lt;"&amp;I19&amp;"then status = ""Normal"""</f>
        <v>elseif imc &lt;19.6then status = "Normal"</v>
      </c>
    </row>
    <row r="20" spans="2:10" x14ac:dyDescent="0.25">
      <c r="H20" s="10"/>
      <c r="I20" t="s">
        <v>37</v>
      </c>
      <c r="J20" s="7" t="str">
        <f t="shared" ref="J20" si="16">"elseif imc &lt;"&amp;I20&amp;"then status = ""Sobrepeso"""</f>
        <v>elseif imc &lt;22.5then status = "Sobrepeso"</v>
      </c>
    </row>
    <row r="21" spans="2:10" ht="15.75" thickBot="1" x14ac:dyDescent="0.3">
      <c r="H21" s="10"/>
      <c r="J21" s="9" t="str">
        <f t="shared" ref="J21:J41" si="17">"else: status=""Obesidade"""</f>
        <v>else: status="Obesidade"</v>
      </c>
    </row>
    <row r="22" spans="2:10" x14ac:dyDescent="0.25">
      <c r="B22">
        <v>6</v>
      </c>
      <c r="D22" t="str">
        <f>"if idade ="&amp;B22&amp; " then"</f>
        <v>if idade =6 then</v>
      </c>
      <c r="H22" s="10">
        <v>11</v>
      </c>
      <c r="I22" t="s">
        <v>38</v>
      </c>
      <c r="J22" s="5" t="str">
        <f t="shared" ref="J22" si="18">"if imc &lt;"&amp;I22&amp;"then status = ""Magro"""</f>
        <v>if imc &lt;17.2then status = "Magro"</v>
      </c>
    </row>
    <row r="23" spans="2:10" x14ac:dyDescent="0.25">
      <c r="B23">
        <v>7</v>
      </c>
      <c r="D23" t="str">
        <f>"elseif idade ="&amp;B23&amp; " then"</f>
        <v>elseif idade =7 then</v>
      </c>
      <c r="H23" s="10"/>
      <c r="I23" t="s">
        <v>32</v>
      </c>
      <c r="J23" s="7" t="str">
        <f t="shared" ref="J23" si="19">"elseif imc &lt;"&amp;I23&amp;"then status = ""Normal"""</f>
        <v>elseif imc &lt;20.3then status = "Normal"</v>
      </c>
    </row>
    <row r="24" spans="2:10" x14ac:dyDescent="0.25">
      <c r="B24">
        <v>8</v>
      </c>
      <c r="D24" t="str">
        <f t="shared" ref="D24:D31" si="20">"elseif idade ="&amp;B24&amp; " then"</f>
        <v>elseif idade =8 then</v>
      </c>
      <c r="H24" s="10"/>
      <c r="I24" t="s">
        <v>39</v>
      </c>
      <c r="J24" s="7" t="str">
        <f t="shared" ref="J24" si="21">"elseif imc &lt;"&amp;I24&amp;"then status = ""Sobrepeso"""</f>
        <v>elseif imc &lt;23.7then status = "Sobrepeso"</v>
      </c>
    </row>
    <row r="25" spans="2:10" ht="15.75" thickBot="1" x14ac:dyDescent="0.3">
      <c r="B25">
        <v>9</v>
      </c>
      <c r="D25" t="str">
        <f t="shared" si="20"/>
        <v>elseif idade =9 then</v>
      </c>
      <c r="H25" s="10"/>
      <c r="J25" s="9" t="str">
        <f t="shared" ref="J25:J41" si="22">"else: status=""Obesidade"""</f>
        <v>else: status="Obesidade"</v>
      </c>
    </row>
    <row r="26" spans="2:10" x14ac:dyDescent="0.25">
      <c r="B26">
        <v>10</v>
      </c>
      <c r="D26" t="str">
        <f t="shared" si="20"/>
        <v>elseif idade =10 then</v>
      </c>
      <c r="H26" s="10">
        <v>12</v>
      </c>
      <c r="I26" t="s">
        <v>40</v>
      </c>
      <c r="J26" s="5" t="str">
        <f t="shared" ref="J26" si="23">"if imc &lt;"&amp;I26&amp;"then status = ""Magro"""</f>
        <v>if imc &lt;17.8then status = "Magro"</v>
      </c>
    </row>
    <row r="27" spans="2:10" x14ac:dyDescent="0.25">
      <c r="B27">
        <v>11</v>
      </c>
      <c r="D27" t="str">
        <f t="shared" si="20"/>
        <v>elseif idade =11 then</v>
      </c>
      <c r="H27" s="10"/>
      <c r="I27" t="s">
        <v>41</v>
      </c>
      <c r="J27" s="7" t="str">
        <f t="shared" ref="J27" si="24">"elseif imc &lt;"&amp;I27&amp;"then status = ""Normal"""</f>
        <v>elseif imc &lt;21.1then status = "Normal"</v>
      </c>
    </row>
    <row r="28" spans="2:10" x14ac:dyDescent="0.25">
      <c r="B28">
        <v>12</v>
      </c>
      <c r="D28" t="str">
        <f t="shared" si="20"/>
        <v>elseif idade =12 then</v>
      </c>
      <c r="H28" s="10"/>
      <c r="I28" t="s">
        <v>42</v>
      </c>
      <c r="J28" s="7" t="str">
        <f t="shared" ref="J28" si="25">"elseif imc &lt;"&amp;I28&amp;"then status = ""Sobrepeso"""</f>
        <v>elseif imc &lt;24.8then status = "Sobrepeso"</v>
      </c>
    </row>
    <row r="29" spans="2:10" ht="15.75" thickBot="1" x14ac:dyDescent="0.3">
      <c r="B29">
        <v>13</v>
      </c>
      <c r="D29" t="str">
        <f t="shared" si="20"/>
        <v>elseif idade =13 then</v>
      </c>
      <c r="H29" s="10"/>
      <c r="J29" s="9" t="str">
        <f t="shared" ref="J29:J41" si="26">"else: status=""Obesidade"""</f>
        <v>else: status="Obesidade"</v>
      </c>
    </row>
    <row r="30" spans="2:10" x14ac:dyDescent="0.25">
      <c r="B30">
        <v>14</v>
      </c>
      <c r="D30" t="str">
        <f t="shared" si="20"/>
        <v>elseif idade =14 then</v>
      </c>
      <c r="H30" s="10">
        <v>13</v>
      </c>
      <c r="I30" t="s">
        <v>43</v>
      </c>
      <c r="J30" s="5" t="str">
        <f t="shared" ref="J30" si="27">"if imc &lt;"&amp;I30&amp;"then status = ""Magro"""</f>
        <v>if imc &lt;18.5then status = "Magro"</v>
      </c>
    </row>
    <row r="31" spans="2:10" x14ac:dyDescent="0.25">
      <c r="B31">
        <v>15</v>
      </c>
      <c r="D31" t="str">
        <f t="shared" si="20"/>
        <v>elseif idade =15 then</v>
      </c>
      <c r="H31" s="10"/>
      <c r="I31" t="s">
        <v>44</v>
      </c>
      <c r="J31" s="7" t="str">
        <f t="shared" ref="J31" si="28">"elseif imc &lt;"&amp;I31&amp;"then status = ""Normal"""</f>
        <v>elseif imc &lt;21.9then status = "Normal"</v>
      </c>
    </row>
    <row r="32" spans="2:10" x14ac:dyDescent="0.25">
      <c r="H32" s="10"/>
      <c r="I32" t="s">
        <v>45</v>
      </c>
      <c r="J32" s="7" t="str">
        <f t="shared" ref="J32" si="29">"elseif imc &lt;"&amp;I32&amp;"then status = ""Sobrepeso"""</f>
        <v>elseif imc &lt;25.9then status = "Sobrepeso"</v>
      </c>
    </row>
    <row r="33" spans="8:10" ht="15.75" thickBot="1" x14ac:dyDescent="0.3">
      <c r="H33" s="10"/>
      <c r="J33" s="9" t="str">
        <f t="shared" ref="J33:J41" si="30">"else: status=""Obesidade"""</f>
        <v>else: status="Obesidade"</v>
      </c>
    </row>
    <row r="34" spans="8:10" x14ac:dyDescent="0.25">
      <c r="H34" s="10">
        <v>14</v>
      </c>
      <c r="I34" t="s">
        <v>46</v>
      </c>
      <c r="J34" s="5" t="str">
        <f t="shared" ref="J34" si="31">"if imc &lt;"&amp;I34&amp;"then status = ""Magro"""</f>
        <v>if imc &lt;19.2then status = "Magro"</v>
      </c>
    </row>
    <row r="35" spans="8:10" x14ac:dyDescent="0.25">
      <c r="H35" s="10"/>
      <c r="I35" t="s">
        <v>47</v>
      </c>
      <c r="J35" s="7" t="str">
        <f t="shared" ref="J35" si="32">"elseif imc &lt;"&amp;I35&amp;"then status = ""Normal"""</f>
        <v>elseif imc &lt;22.7then status = "Normal"</v>
      </c>
    </row>
    <row r="36" spans="8:10" x14ac:dyDescent="0.25">
      <c r="H36" s="10"/>
      <c r="I36" t="s">
        <v>48</v>
      </c>
      <c r="J36" s="7" t="str">
        <f t="shared" ref="J36" si="33">"elseif imc &lt;"&amp;I36&amp;"then status = ""Sobrepeso"""</f>
        <v>elseif imc &lt;26.9then status = "Sobrepeso"</v>
      </c>
    </row>
    <row r="37" spans="8:10" ht="15.75" thickBot="1" x14ac:dyDescent="0.3">
      <c r="H37" s="10"/>
      <c r="J37" s="9" t="str">
        <f t="shared" ref="J37:J41" si="34">"else: status=""Obesidade"""</f>
        <v>else: status="Obesidade"</v>
      </c>
    </row>
    <row r="38" spans="8:10" x14ac:dyDescent="0.25">
      <c r="H38" s="10">
        <v>15</v>
      </c>
      <c r="I38" t="s">
        <v>49</v>
      </c>
      <c r="J38" s="5" t="str">
        <f t="shared" ref="J38" si="35">"if imc &lt;"&amp;I38&amp;"then status = ""Magro"""</f>
        <v>if imc &lt;19.9then status = "Magro"</v>
      </c>
    </row>
    <row r="39" spans="8:10" x14ac:dyDescent="0.25">
      <c r="H39" s="10"/>
      <c r="I39" t="s">
        <v>50</v>
      </c>
      <c r="J39" s="7" t="str">
        <f t="shared" ref="J39" si="36">"elseif imc &lt;"&amp;I39&amp;"then status = ""Normal"""</f>
        <v>elseif imc &lt;23.6then status = "Normal"</v>
      </c>
    </row>
    <row r="40" spans="8:10" x14ac:dyDescent="0.25">
      <c r="H40" s="10"/>
      <c r="I40" t="s">
        <v>51</v>
      </c>
      <c r="J40" s="7" t="str">
        <f t="shared" ref="J40" si="37">"elseif imc &lt;"&amp;I40&amp;"then status = ""Sobrepeso"""</f>
        <v>elseif imc &lt;27.7then status = "Sobrepeso"</v>
      </c>
    </row>
    <row r="41" spans="8:10" ht="15.75" thickBot="1" x14ac:dyDescent="0.3">
      <c r="H41" s="10"/>
      <c r="J41" s="9" t="str">
        <f t="shared" ref="J41" si="38">"else: status=""Obesidade"""</f>
        <v>else: status="Obesidade"</v>
      </c>
    </row>
  </sheetData>
  <mergeCells count="10">
    <mergeCell ref="H26:H29"/>
    <mergeCell ref="H30:H33"/>
    <mergeCell ref="H34:H37"/>
    <mergeCell ref="H38:H41"/>
    <mergeCell ref="H2:H5"/>
    <mergeCell ref="H6:H9"/>
    <mergeCell ref="H10:H13"/>
    <mergeCell ref="H14:H17"/>
    <mergeCell ref="H18:H21"/>
    <mergeCell ref="H22:H25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F632-D0C9-4B68-8BF3-FA14A53C9A0D}">
  <sheetPr codeName="Planilha3"/>
  <dimension ref="A1:C90"/>
  <sheetViews>
    <sheetView zoomScale="220" zoomScaleNormal="220" workbookViewId="0"/>
  </sheetViews>
  <sheetFormatPr defaultRowHeight="15" x14ac:dyDescent="0.25"/>
  <cols>
    <col min="1" max="1" width="27.28515625" bestFit="1" customWidth="1"/>
  </cols>
  <sheetData>
    <row r="1" spans="1:3" x14ac:dyDescent="0.25">
      <c r="A1" s="4" t="str">
        <f>"    If imc &lt; "&amp;B1&amp;" Then"</f>
        <v xml:space="preserve">    If imc &lt; 14.3 Then</v>
      </c>
      <c r="B1" s="5" t="s">
        <v>52</v>
      </c>
      <c r="C1" s="11">
        <v>6</v>
      </c>
    </row>
    <row r="2" spans="1:3" x14ac:dyDescent="0.25">
      <c r="A2" s="6" t="str">
        <f>"                status = ""Magra"""</f>
        <v xml:space="preserve">                status = "Magra"</v>
      </c>
      <c r="B2" s="7"/>
      <c r="C2" s="11"/>
    </row>
    <row r="3" spans="1:3" x14ac:dyDescent="0.25">
      <c r="A3" s="6" t="str">
        <f>"            ElseIf imc &lt; "&amp;B3&amp;" Then"</f>
        <v xml:space="preserve">            ElseIf imc &lt; 16.1 Then</v>
      </c>
      <c r="B3" s="7" t="s">
        <v>33</v>
      </c>
      <c r="C3" s="11"/>
    </row>
    <row r="4" spans="1:3" x14ac:dyDescent="0.25">
      <c r="A4" s="6" t="str">
        <f>"                status = ""Normal"""</f>
        <v xml:space="preserve">                status = "Normal"</v>
      </c>
      <c r="B4" s="7"/>
      <c r="C4" s="11"/>
    </row>
    <row r="5" spans="1:3" x14ac:dyDescent="0.25">
      <c r="A5" s="6" t="str">
        <f>"            ElseIf imc &lt; "&amp;B5&amp;" Then"</f>
        <v xml:space="preserve">            ElseIf imc &lt; 17.4 Then</v>
      </c>
      <c r="B5" s="7" t="s">
        <v>53</v>
      </c>
      <c r="C5" s="11"/>
    </row>
    <row r="6" spans="1:3" x14ac:dyDescent="0.25">
      <c r="A6" s="6" t="str">
        <f>"                status = ""Sobrepeso"""</f>
        <v xml:space="preserve">                status = "Sobrepeso"</v>
      </c>
      <c r="B6" s="7"/>
      <c r="C6" s="11"/>
    </row>
    <row r="7" spans="1:3" x14ac:dyDescent="0.25">
      <c r="A7" s="6" t="str">
        <f>"            Else"</f>
        <v xml:space="preserve">            Else</v>
      </c>
      <c r="B7" s="7"/>
      <c r="C7" s="11"/>
    </row>
    <row r="8" spans="1:3" x14ac:dyDescent="0.25">
      <c r="A8" s="6" t="str">
        <f>"                status = ""Obesidade"""</f>
        <v xml:space="preserve">                status = "Obesidade"</v>
      </c>
      <c r="B8" s="7"/>
      <c r="C8" s="11"/>
    </row>
    <row r="9" spans="1:3" ht="15.75" thickBot="1" x14ac:dyDescent="0.3">
      <c r="A9" s="8" t="str">
        <f>"            End If"</f>
        <v xml:space="preserve">            End If</v>
      </c>
      <c r="B9" s="9"/>
      <c r="C9" s="11"/>
    </row>
    <row r="10" spans="1:3" x14ac:dyDescent="0.25">
      <c r="A10" s="4" t="str">
        <f>"    If imc &lt; "&amp;B10&amp;" Then"</f>
        <v xml:space="preserve">    If imc &lt; 14.9 Then</v>
      </c>
      <c r="B10" s="5" t="s">
        <v>54</v>
      </c>
      <c r="C10" s="11">
        <v>7</v>
      </c>
    </row>
    <row r="11" spans="1:3" x14ac:dyDescent="0.25">
      <c r="A11" s="6" t="str">
        <f>"                status = ""Magra"""</f>
        <v xml:space="preserve">                status = "Magra"</v>
      </c>
      <c r="B11" s="7"/>
      <c r="C11" s="11"/>
    </row>
    <row r="12" spans="1:3" x14ac:dyDescent="0.25">
      <c r="A12" s="6" t="str">
        <f>"            ElseIf imc &lt; "&amp;B12&amp;" Then"</f>
        <v xml:space="preserve">            ElseIf imc &lt; 17.1 Then</v>
      </c>
      <c r="B12" s="7" t="s">
        <v>55</v>
      </c>
      <c r="C12" s="11"/>
    </row>
    <row r="13" spans="1:3" x14ac:dyDescent="0.25">
      <c r="A13" s="6" t="str">
        <f>"                status = ""Normal"""</f>
        <v xml:space="preserve">                status = "Normal"</v>
      </c>
      <c r="B13" s="7"/>
      <c r="C13" s="11"/>
    </row>
    <row r="14" spans="1:3" x14ac:dyDescent="0.25">
      <c r="A14" s="6" t="str">
        <f>"            ElseIf imc &lt; "&amp;B14&amp;" Then"</f>
        <v xml:space="preserve">            ElseIf imc &lt; 18.9 Then</v>
      </c>
      <c r="B14" s="7" t="s">
        <v>56</v>
      </c>
      <c r="C14" s="11"/>
    </row>
    <row r="15" spans="1:3" x14ac:dyDescent="0.25">
      <c r="A15" s="6" t="str">
        <f>"                status = ""Sobrepeso"""</f>
        <v xml:space="preserve">                status = "Sobrepeso"</v>
      </c>
      <c r="B15" s="7"/>
      <c r="C15" s="11"/>
    </row>
    <row r="16" spans="1:3" x14ac:dyDescent="0.25">
      <c r="A16" s="6" t="str">
        <f>"            Else"</f>
        <v xml:space="preserve">            Else</v>
      </c>
      <c r="B16" s="7"/>
      <c r="C16" s="11"/>
    </row>
    <row r="17" spans="1:3" x14ac:dyDescent="0.25">
      <c r="A17" s="6" t="str">
        <f>"                status = ""Obesidade"""</f>
        <v xml:space="preserve">                status = "Obesidade"</v>
      </c>
      <c r="B17" s="7"/>
      <c r="C17" s="11"/>
    </row>
    <row r="18" spans="1:3" ht="15.75" thickBot="1" x14ac:dyDescent="0.3">
      <c r="A18" s="8" t="str">
        <f>"            End If"</f>
        <v xml:space="preserve">            End If</v>
      </c>
      <c r="B18" s="9"/>
      <c r="C18" s="11"/>
    </row>
    <row r="19" spans="1:3" x14ac:dyDescent="0.25">
      <c r="A19" s="4" t="str">
        <f>"    If imc &lt; "&amp;B19&amp;" Then"</f>
        <v xml:space="preserve">    If imc &lt; 15.6 Then</v>
      </c>
      <c r="B19" s="5" t="s">
        <v>30</v>
      </c>
      <c r="C19" s="11">
        <v>8</v>
      </c>
    </row>
    <row r="20" spans="1:3" x14ac:dyDescent="0.25">
      <c r="A20" s="6" t="str">
        <f>"                status = ""Magra"""</f>
        <v xml:space="preserve">                status = "Magra"</v>
      </c>
      <c r="B20" s="7"/>
      <c r="C20" s="11"/>
    </row>
    <row r="21" spans="1:3" x14ac:dyDescent="0.25">
      <c r="A21" s="6" t="str">
        <f>"            ElseIf imc &lt; "&amp;B21&amp;" Then"</f>
        <v xml:space="preserve">            ElseIf imc &lt; 18.1 Then</v>
      </c>
      <c r="B21" s="7" t="s">
        <v>57</v>
      </c>
      <c r="C21" s="11"/>
    </row>
    <row r="22" spans="1:3" x14ac:dyDescent="0.25">
      <c r="A22" s="6" t="str">
        <f>"                status = ""Normal"""</f>
        <v xml:space="preserve">                status = "Normal"</v>
      </c>
      <c r="B22" s="7"/>
      <c r="C22" s="11"/>
    </row>
    <row r="23" spans="1:3" x14ac:dyDescent="0.25">
      <c r="A23" s="6" t="str">
        <f>"            ElseIf imc &lt; "&amp;B23&amp;" Then"</f>
        <v xml:space="preserve">            ElseIf imc &lt; 20.3 Then</v>
      </c>
      <c r="B23" s="7" t="s">
        <v>32</v>
      </c>
      <c r="C23" s="11"/>
    </row>
    <row r="24" spans="1:3" x14ac:dyDescent="0.25">
      <c r="A24" s="6" t="str">
        <f>"                status = ""Sobrepeso"""</f>
        <v xml:space="preserve">                status = "Sobrepeso"</v>
      </c>
      <c r="B24" s="7"/>
      <c r="C24" s="11"/>
    </row>
    <row r="25" spans="1:3" x14ac:dyDescent="0.25">
      <c r="A25" s="6" t="str">
        <f>"            Else"</f>
        <v xml:space="preserve">            Else</v>
      </c>
      <c r="B25" s="7"/>
      <c r="C25" s="11"/>
    </row>
    <row r="26" spans="1:3" x14ac:dyDescent="0.25">
      <c r="A26" s="6" t="str">
        <f>"                status = ""Obesidade"""</f>
        <v xml:space="preserve">                status = "Obesidade"</v>
      </c>
      <c r="B26" s="7"/>
      <c r="C26" s="11"/>
    </row>
    <row r="27" spans="1:3" ht="15.75" thickBot="1" x14ac:dyDescent="0.3">
      <c r="A27" s="8" t="str">
        <f>"            End If"</f>
        <v xml:space="preserve">            End If</v>
      </c>
      <c r="B27" s="9"/>
      <c r="C27" s="11"/>
    </row>
    <row r="28" spans="1:3" x14ac:dyDescent="0.25">
      <c r="A28" s="4" t="str">
        <f>"    If imc &lt; "&amp;B28&amp;" Then"</f>
        <v xml:space="preserve">    If imc &lt; 16.3 Then</v>
      </c>
      <c r="B28" s="5" t="s">
        <v>58</v>
      </c>
      <c r="C28" s="11">
        <v>9</v>
      </c>
    </row>
    <row r="29" spans="1:3" x14ac:dyDescent="0.25">
      <c r="A29" s="6" t="str">
        <f>"                status = ""Magra"""</f>
        <v xml:space="preserve">                status = "Magra"</v>
      </c>
      <c r="B29" s="7"/>
      <c r="C29" s="11"/>
    </row>
    <row r="30" spans="1:3" x14ac:dyDescent="0.25">
      <c r="A30" s="6" t="str">
        <f>"            ElseIf imc &lt; "&amp;B30&amp;" Then"</f>
        <v xml:space="preserve">            ElseIf imc &lt; 19.1 Then</v>
      </c>
      <c r="B30" s="7" t="s">
        <v>29</v>
      </c>
      <c r="C30" s="11"/>
    </row>
    <row r="31" spans="1:3" x14ac:dyDescent="0.25">
      <c r="A31" s="6" t="str">
        <f>"                status = ""Normal"""</f>
        <v xml:space="preserve">                status = "Normal"</v>
      </c>
      <c r="B31" s="7"/>
      <c r="C31" s="11"/>
    </row>
    <row r="32" spans="1:3" x14ac:dyDescent="0.25">
      <c r="A32" s="6" t="str">
        <f>"            ElseIf imc &lt; "&amp;B32&amp;" Then"</f>
        <v xml:space="preserve">            ElseIf imc &lt; 21.7 Then</v>
      </c>
      <c r="B32" s="7" t="s">
        <v>59</v>
      </c>
      <c r="C32" s="11"/>
    </row>
    <row r="33" spans="1:3" x14ac:dyDescent="0.25">
      <c r="A33" s="6" t="str">
        <f>"                status = ""Sobrepeso"""</f>
        <v xml:space="preserve">                status = "Sobrepeso"</v>
      </c>
      <c r="B33" s="7"/>
      <c r="C33" s="11"/>
    </row>
    <row r="34" spans="1:3" x14ac:dyDescent="0.25">
      <c r="A34" s="6" t="str">
        <f>"            Else"</f>
        <v xml:space="preserve">            Else</v>
      </c>
      <c r="B34" s="7"/>
      <c r="C34" s="11"/>
    </row>
    <row r="35" spans="1:3" x14ac:dyDescent="0.25">
      <c r="A35" s="6" t="str">
        <f>"                status = ""Obesidade"""</f>
        <v xml:space="preserve">                status = "Obesidade"</v>
      </c>
      <c r="B35" s="7"/>
      <c r="C35" s="11"/>
    </row>
    <row r="36" spans="1:3" ht="15.75" thickBot="1" x14ac:dyDescent="0.3">
      <c r="A36" s="8" t="str">
        <f>"            End If"</f>
        <v xml:space="preserve">            End If</v>
      </c>
      <c r="B36" s="9"/>
      <c r="C36" s="11"/>
    </row>
    <row r="37" spans="1:3" x14ac:dyDescent="0.25">
      <c r="A37" s="4" t="str">
        <f>"    If imc &lt; "&amp;B37&amp;" Then"</f>
        <v xml:space="preserve">    If imc &lt; 17 Then</v>
      </c>
      <c r="B37" s="5">
        <v>17</v>
      </c>
      <c r="C37" s="11">
        <v>10</v>
      </c>
    </row>
    <row r="38" spans="1:3" x14ac:dyDescent="0.25">
      <c r="A38" s="6" t="str">
        <f>"                status = ""Magra"""</f>
        <v xml:space="preserve">                status = "Magra"</v>
      </c>
      <c r="B38" s="7"/>
      <c r="C38" s="11"/>
    </row>
    <row r="39" spans="1:3" x14ac:dyDescent="0.25">
      <c r="A39" s="6" t="str">
        <f>"            ElseIf imc &lt; "&amp;B39&amp;" Then"</f>
        <v xml:space="preserve">            ElseIf imc &lt; 20.1 Then</v>
      </c>
      <c r="B39" s="7" t="s">
        <v>60</v>
      </c>
      <c r="C39" s="11"/>
    </row>
    <row r="40" spans="1:3" x14ac:dyDescent="0.25">
      <c r="A40" s="6" t="str">
        <f>"                status = ""Normal"""</f>
        <v xml:space="preserve">                status = "Normal"</v>
      </c>
      <c r="B40" s="7"/>
      <c r="C40" s="11"/>
    </row>
    <row r="41" spans="1:3" x14ac:dyDescent="0.25">
      <c r="A41" s="6" t="str">
        <f>"            ElseIf imc &lt; "&amp;B41&amp;" Then"</f>
        <v xml:space="preserve">            ElseIf imc &lt; 23.2 Then</v>
      </c>
      <c r="B41" s="7" t="s">
        <v>61</v>
      </c>
      <c r="C41" s="11"/>
    </row>
    <row r="42" spans="1:3" x14ac:dyDescent="0.25">
      <c r="A42" s="6" t="str">
        <f>"                status = ""Sobrepeso"""</f>
        <v xml:space="preserve">                status = "Sobrepeso"</v>
      </c>
      <c r="B42" s="7"/>
      <c r="C42" s="11"/>
    </row>
    <row r="43" spans="1:3" x14ac:dyDescent="0.25">
      <c r="A43" s="6" t="str">
        <f>"            Else"</f>
        <v xml:space="preserve">            Else</v>
      </c>
      <c r="B43" s="7"/>
      <c r="C43" s="11"/>
    </row>
    <row r="44" spans="1:3" x14ac:dyDescent="0.25">
      <c r="A44" s="6" t="str">
        <f>"                status = ""Obesidade"""</f>
        <v xml:space="preserve">                status = "Obesidade"</v>
      </c>
      <c r="B44" s="7"/>
      <c r="C44" s="11"/>
    </row>
    <row r="45" spans="1:3" ht="15.75" thickBot="1" x14ac:dyDescent="0.3">
      <c r="A45" s="8" t="str">
        <f>"            End If"</f>
        <v xml:space="preserve">            End If</v>
      </c>
      <c r="B45" s="9"/>
      <c r="C45" s="11"/>
    </row>
    <row r="46" spans="1:3" x14ac:dyDescent="0.25">
      <c r="A46" s="4" t="str">
        <f>"    If imc &lt; "&amp;B46&amp;" Then"</f>
        <v xml:space="preserve">    If imc &lt; 17.7 Then</v>
      </c>
      <c r="B46" s="5" t="s">
        <v>62</v>
      </c>
      <c r="C46" s="11">
        <v>11</v>
      </c>
    </row>
    <row r="47" spans="1:3" x14ac:dyDescent="0.25">
      <c r="A47" s="6" t="str">
        <f>"                status = ""Magra"""</f>
        <v xml:space="preserve">                status = "Magra"</v>
      </c>
      <c r="B47" s="7"/>
      <c r="C47" s="11"/>
    </row>
    <row r="48" spans="1:3" x14ac:dyDescent="0.25">
      <c r="A48" s="6" t="str">
        <f>"            ElseIf imc &lt; "&amp;B48&amp;" Then"</f>
        <v xml:space="preserve">            ElseIf imc &lt; 21.1 Then</v>
      </c>
      <c r="B48" s="7" t="s">
        <v>41</v>
      </c>
      <c r="C48" s="11"/>
    </row>
    <row r="49" spans="1:3" x14ac:dyDescent="0.25">
      <c r="A49" s="6" t="str">
        <f>"                status = ""Normal"""</f>
        <v xml:space="preserve">                status = "Normal"</v>
      </c>
      <c r="B49" s="7"/>
      <c r="C49" s="11"/>
    </row>
    <row r="50" spans="1:3" x14ac:dyDescent="0.25">
      <c r="A50" s="6" t="str">
        <f>"            ElseIf imc &lt; "&amp;B50&amp;" Then"</f>
        <v xml:space="preserve">            ElseIf imc &lt; 24.5 Then</v>
      </c>
      <c r="B50" s="7" t="s">
        <v>63</v>
      </c>
      <c r="C50" s="11"/>
    </row>
    <row r="51" spans="1:3" x14ac:dyDescent="0.25">
      <c r="A51" s="6" t="str">
        <f>"                status = ""Sobrepeso"""</f>
        <v xml:space="preserve">                status = "Sobrepeso"</v>
      </c>
      <c r="B51" s="7"/>
      <c r="C51" s="11"/>
    </row>
    <row r="52" spans="1:3" x14ac:dyDescent="0.25">
      <c r="A52" s="6" t="str">
        <f>"            Else"</f>
        <v xml:space="preserve">            Else</v>
      </c>
      <c r="B52" s="7"/>
      <c r="C52" s="11"/>
    </row>
    <row r="53" spans="1:3" x14ac:dyDescent="0.25">
      <c r="A53" s="6" t="str">
        <f>"                status = ""Obesidade"""</f>
        <v xml:space="preserve">                status = "Obesidade"</v>
      </c>
      <c r="B53" s="7"/>
      <c r="C53" s="11"/>
    </row>
    <row r="54" spans="1:3" ht="15.75" thickBot="1" x14ac:dyDescent="0.3">
      <c r="A54" s="8" t="str">
        <f>"            End If"</f>
        <v xml:space="preserve">            End If</v>
      </c>
      <c r="B54" s="9"/>
      <c r="C54" s="11"/>
    </row>
    <row r="55" spans="1:3" x14ac:dyDescent="0.25">
      <c r="A55" s="4" t="str">
        <f>"    If imc &lt; "&amp;B55&amp;" Then"</f>
        <v xml:space="preserve">    If imc &lt; 18.3 Then</v>
      </c>
      <c r="B55" s="5" t="s">
        <v>64</v>
      </c>
      <c r="C55" s="11">
        <v>12</v>
      </c>
    </row>
    <row r="56" spans="1:3" x14ac:dyDescent="0.25">
      <c r="A56" s="6" t="str">
        <f>"                status = ""Magra"""</f>
        <v xml:space="preserve">                status = "Magra"</v>
      </c>
      <c r="B56" s="7"/>
      <c r="C56" s="11"/>
    </row>
    <row r="57" spans="1:3" x14ac:dyDescent="0.25">
      <c r="A57" s="6" t="str">
        <f>"            ElseIf imc &lt; "&amp;B57&amp;" Then"</f>
        <v xml:space="preserve">            ElseIf imc &lt; 22.1 Then</v>
      </c>
      <c r="B57" s="7" t="s">
        <v>65</v>
      </c>
      <c r="C57" s="11"/>
    </row>
    <row r="58" spans="1:3" x14ac:dyDescent="0.25">
      <c r="A58" s="6" t="str">
        <f>"                status = ""Normal"""</f>
        <v xml:space="preserve">                status = "Normal"</v>
      </c>
      <c r="B58" s="7"/>
      <c r="C58" s="11"/>
    </row>
    <row r="59" spans="1:3" x14ac:dyDescent="0.25">
      <c r="A59" s="6" t="str">
        <f>"            ElseIf imc &lt; "&amp;B59&amp;" Then"</f>
        <v xml:space="preserve">            ElseIf imc &lt; 25.9 Then</v>
      </c>
      <c r="B59" s="7" t="s">
        <v>45</v>
      </c>
      <c r="C59" s="11"/>
    </row>
    <row r="60" spans="1:3" x14ac:dyDescent="0.25">
      <c r="A60" s="6" t="str">
        <f>"                status = ""Sobrepeso"""</f>
        <v xml:space="preserve">                status = "Sobrepeso"</v>
      </c>
      <c r="B60" s="7"/>
      <c r="C60" s="11"/>
    </row>
    <row r="61" spans="1:3" x14ac:dyDescent="0.25">
      <c r="A61" s="6" t="str">
        <f>"            Else"</f>
        <v xml:space="preserve">            Else</v>
      </c>
      <c r="B61" s="7"/>
      <c r="C61" s="11"/>
    </row>
    <row r="62" spans="1:3" x14ac:dyDescent="0.25">
      <c r="A62" s="6" t="str">
        <f>"                status = ""Obesidade"""</f>
        <v xml:space="preserve">                status = "Obesidade"</v>
      </c>
      <c r="B62" s="7"/>
      <c r="C62" s="11"/>
    </row>
    <row r="63" spans="1:3" ht="15.75" thickBot="1" x14ac:dyDescent="0.3">
      <c r="A63" s="8" t="str">
        <f>"            End If"</f>
        <v xml:space="preserve">            End If</v>
      </c>
      <c r="B63" s="9"/>
      <c r="C63" s="11"/>
    </row>
    <row r="64" spans="1:3" x14ac:dyDescent="0.25">
      <c r="A64" s="4" t="str">
        <f>"    If imc &lt; "&amp;B64&amp;" Then"</f>
        <v xml:space="preserve">    If imc &lt; 18.9 Then</v>
      </c>
      <c r="B64" s="5" t="s">
        <v>56</v>
      </c>
      <c r="C64" s="11">
        <v>13</v>
      </c>
    </row>
    <row r="65" spans="1:3" x14ac:dyDescent="0.25">
      <c r="A65" s="6" t="str">
        <f>"                status = ""Magra"""</f>
        <v xml:space="preserve">                status = "Magra"</v>
      </c>
      <c r="B65" s="7"/>
      <c r="C65" s="11"/>
    </row>
    <row r="66" spans="1:3" x14ac:dyDescent="0.25">
      <c r="A66" s="6" t="str">
        <f>"            ElseIf imc &lt; "&amp;B66&amp;" Then"</f>
        <v xml:space="preserve">            ElseIf imc &lt; 23 Then</v>
      </c>
      <c r="B66" s="7">
        <v>23</v>
      </c>
      <c r="C66" s="11"/>
    </row>
    <row r="67" spans="1:3" x14ac:dyDescent="0.25">
      <c r="A67" s="6" t="str">
        <f>"                status = ""Normal"""</f>
        <v xml:space="preserve">                status = "Normal"</v>
      </c>
      <c r="B67" s="7"/>
      <c r="C67" s="11"/>
    </row>
    <row r="68" spans="1:3" x14ac:dyDescent="0.25">
      <c r="A68" s="6" t="str">
        <f>"            ElseIf imc &lt; "&amp;B68&amp;" Then"</f>
        <v xml:space="preserve">            ElseIf imc &lt; 27.7 Then</v>
      </c>
      <c r="B68" s="7" t="s">
        <v>51</v>
      </c>
      <c r="C68" s="11"/>
    </row>
    <row r="69" spans="1:3" x14ac:dyDescent="0.25">
      <c r="A69" s="6" t="str">
        <f>"                status = ""Sobrepeso"""</f>
        <v xml:space="preserve">                status = "Sobrepeso"</v>
      </c>
      <c r="B69" s="7"/>
      <c r="C69" s="11"/>
    </row>
    <row r="70" spans="1:3" x14ac:dyDescent="0.25">
      <c r="A70" s="6" t="str">
        <f>"            Else"</f>
        <v xml:space="preserve">            Else</v>
      </c>
      <c r="B70" s="7"/>
      <c r="C70" s="11"/>
    </row>
    <row r="71" spans="1:3" x14ac:dyDescent="0.25">
      <c r="A71" s="6" t="str">
        <f>"                status = ""Obesidade"""</f>
        <v xml:space="preserve">                status = "Obesidade"</v>
      </c>
      <c r="B71" s="7"/>
      <c r="C71" s="11"/>
    </row>
    <row r="72" spans="1:3" ht="15.75" thickBot="1" x14ac:dyDescent="0.3">
      <c r="A72" s="8" t="str">
        <f>"            End If"</f>
        <v xml:space="preserve">            End If</v>
      </c>
      <c r="B72" s="9"/>
      <c r="C72" s="11"/>
    </row>
    <row r="73" spans="1:3" x14ac:dyDescent="0.25">
      <c r="A73" s="4" t="str">
        <f>"    If imc &lt; "&amp;B73&amp;" Then"</f>
        <v xml:space="preserve">    If imc &lt; 19.3 Then</v>
      </c>
      <c r="B73" s="5" t="s">
        <v>66</v>
      </c>
      <c r="C73" s="11">
        <v>14</v>
      </c>
    </row>
    <row r="74" spans="1:3" x14ac:dyDescent="0.25">
      <c r="A74" s="6" t="str">
        <f>"                status = ""Magra"""</f>
        <v xml:space="preserve">                status = "Magra"</v>
      </c>
      <c r="B74" s="7"/>
      <c r="C74" s="11"/>
    </row>
    <row r="75" spans="1:3" x14ac:dyDescent="0.25">
      <c r="A75" s="6" t="str">
        <f>"            ElseIf imc &lt; "&amp;B75&amp;" Then"</f>
        <v xml:space="preserve">            ElseIf imc &lt; 23.8 Then</v>
      </c>
      <c r="B75" s="7" t="s">
        <v>67</v>
      </c>
      <c r="C75" s="11"/>
    </row>
    <row r="76" spans="1:3" x14ac:dyDescent="0.25">
      <c r="A76" s="6" t="str">
        <f>"                status = ""Normal"""</f>
        <v xml:space="preserve">                status = "Normal"</v>
      </c>
      <c r="B76" s="7"/>
      <c r="C76" s="11"/>
    </row>
    <row r="77" spans="1:3" x14ac:dyDescent="0.25">
      <c r="A77" s="6" t="str">
        <f>"            ElseIf imc &lt; "&amp;B77&amp;" Then"</f>
        <v xml:space="preserve">            ElseIf imc &lt; 27.9 Then</v>
      </c>
      <c r="B77" s="7" t="s">
        <v>68</v>
      </c>
      <c r="C77" s="11"/>
    </row>
    <row r="78" spans="1:3" x14ac:dyDescent="0.25">
      <c r="A78" s="6" t="str">
        <f>"                status = ""Sobrepeso"""</f>
        <v xml:space="preserve">                status = "Sobrepeso"</v>
      </c>
      <c r="B78" s="7"/>
      <c r="C78" s="11"/>
    </row>
    <row r="79" spans="1:3" x14ac:dyDescent="0.25">
      <c r="A79" s="6" t="str">
        <f>"            Else"</f>
        <v xml:space="preserve">            Else</v>
      </c>
      <c r="B79" s="7"/>
      <c r="C79" s="11"/>
    </row>
    <row r="80" spans="1:3" x14ac:dyDescent="0.25">
      <c r="A80" s="6" t="str">
        <f>"                status = ""Obesidade"""</f>
        <v xml:space="preserve">                status = "Obesidade"</v>
      </c>
      <c r="B80" s="7"/>
      <c r="C80" s="11"/>
    </row>
    <row r="81" spans="1:3" ht="15.75" thickBot="1" x14ac:dyDescent="0.3">
      <c r="A81" s="8" t="str">
        <f>"            End If"</f>
        <v xml:space="preserve">            End If</v>
      </c>
      <c r="B81" s="9"/>
      <c r="C81" s="11"/>
    </row>
    <row r="82" spans="1:3" x14ac:dyDescent="0.25">
      <c r="A82" s="4" t="str">
        <f>"    If imc &lt; "&amp;B82&amp;" Then"</f>
        <v xml:space="preserve">    If imc &lt; 19.6 Then</v>
      </c>
      <c r="B82" s="5" t="s">
        <v>36</v>
      </c>
      <c r="C82" s="11">
        <v>15</v>
      </c>
    </row>
    <row r="83" spans="1:3" x14ac:dyDescent="0.25">
      <c r="A83" s="6" t="str">
        <f>"                status = ""Magra"""</f>
        <v xml:space="preserve">                status = "Magra"</v>
      </c>
      <c r="B83" s="7"/>
      <c r="C83" s="11"/>
    </row>
    <row r="84" spans="1:3" x14ac:dyDescent="0.25">
      <c r="A84" s="6" t="str">
        <f>"            ElseIf imc &lt; "&amp;B84&amp;" Then"</f>
        <v xml:space="preserve">            ElseIf imc &lt; 24.2 Then</v>
      </c>
      <c r="B84" s="7" t="s">
        <v>69</v>
      </c>
      <c r="C84" s="11"/>
    </row>
    <row r="85" spans="1:3" x14ac:dyDescent="0.25">
      <c r="A85" s="6" t="str">
        <f>"                status = ""Normal"""</f>
        <v xml:space="preserve">                status = "Normal"</v>
      </c>
      <c r="B85" s="7"/>
      <c r="C85" s="11"/>
    </row>
    <row r="86" spans="1:3" x14ac:dyDescent="0.25">
      <c r="A86" s="6" t="str">
        <f>"            ElseIf imc &lt; "&amp;B86&amp;" Then"</f>
        <v xml:space="preserve">            ElseIf imc &lt; 28.8 Then</v>
      </c>
      <c r="B86" s="7" t="s">
        <v>70</v>
      </c>
      <c r="C86" s="11"/>
    </row>
    <row r="87" spans="1:3" x14ac:dyDescent="0.25">
      <c r="A87" s="6" t="str">
        <f>"                status = ""Sobrepeso"""</f>
        <v xml:space="preserve">                status = "Sobrepeso"</v>
      </c>
      <c r="B87" s="7"/>
      <c r="C87" s="11"/>
    </row>
    <row r="88" spans="1:3" x14ac:dyDescent="0.25">
      <c r="A88" s="6" t="str">
        <f>"            Else"</f>
        <v xml:space="preserve">            Else</v>
      </c>
      <c r="B88" s="7"/>
      <c r="C88" s="11"/>
    </row>
    <row r="89" spans="1:3" x14ac:dyDescent="0.25">
      <c r="A89" s="6" t="str">
        <f>"                status = ""Obesidade"""</f>
        <v xml:space="preserve">                status = "Obesidade"</v>
      </c>
      <c r="B89" s="7"/>
      <c r="C89" s="11"/>
    </row>
    <row r="90" spans="1:3" ht="15.75" thickBot="1" x14ac:dyDescent="0.3">
      <c r="A90" s="8" t="str">
        <f>"            End If"</f>
        <v xml:space="preserve">            End If</v>
      </c>
      <c r="B90" s="9"/>
      <c r="C90" s="11"/>
    </row>
  </sheetData>
  <mergeCells count="10">
    <mergeCell ref="C46:C54"/>
    <mergeCell ref="C55:C63"/>
    <mergeCell ref="C64:C72"/>
    <mergeCell ref="C73:C81"/>
    <mergeCell ref="C82:C90"/>
    <mergeCell ref="C1:C9"/>
    <mergeCell ref="C10:C18"/>
    <mergeCell ref="C19:C27"/>
    <mergeCell ref="C28:C36"/>
    <mergeCell ref="C37:C45"/>
  </mergeCells>
  <phoneticPr fontId="1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2023-07-04T16:24:19Z</dcterms:created>
  <dcterms:modified xsi:type="dcterms:W3CDTF">2023-07-05T20:21:16Z</dcterms:modified>
</cp:coreProperties>
</file>